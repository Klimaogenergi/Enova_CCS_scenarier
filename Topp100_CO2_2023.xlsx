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Topp 100 CO2 2023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_-;\-* #,##0_-;_-* &quot;-&quot;??_-;_-@_-"/>
  </numFmts>
  <fonts count="6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i val="1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3">
    <xf numFmtId="0" fontId="2" fillId="0" borderId="0"/>
    <xf numFmtId="43" fontId="2" fillId="0" borderId="0"/>
    <xf numFmtId="9" fontId="2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164" fontId="0" fillId="0" borderId="0" pivotButton="0" quotePrefix="0" xfId="1"/>
    <xf numFmtId="0" fontId="4" fillId="0" borderId="0" pivotButton="0" quotePrefix="0" xfId="0"/>
    <xf numFmtId="3" fontId="4" fillId="0" borderId="0" pivotButton="0" quotePrefix="0" xfId="0"/>
    <xf numFmtId="164" fontId="4" fillId="0" borderId="0" pivotButton="0" quotePrefix="0" xfId="1"/>
    <xf numFmtId="9" fontId="0" fillId="0" borderId="0" pivotButton="0" quotePrefix="0" xfId="2"/>
    <xf numFmtId="3" fontId="4" fillId="2" borderId="0" pivotButton="0" quotePrefix="0" xfId="0"/>
    <xf numFmtId="3" fontId="4" fillId="3" borderId="0" pivotButton="0" quotePrefix="0" xfId="0"/>
    <xf numFmtId="0" fontId="5" fillId="0" borderId="0" pivotButton="0" quotePrefix="0" xfId="0"/>
    <xf numFmtId="164" fontId="0" fillId="0" borderId="0" pivotButton="0" quotePrefix="0" xfId="0"/>
    <xf numFmtId="0" fontId="0" fillId="2" borderId="0" pivotButton="0" quotePrefix="0" xfId="0"/>
    <xf numFmtId="3" fontId="0" fillId="2" borderId="0" pivotButton="0" quotePrefix="0" xfId="0"/>
    <xf numFmtId="0" fontId="0" fillId="4" borderId="0" pivotButton="0" quotePrefix="0" xfId="0"/>
    <xf numFmtId="3" fontId="0" fillId="4" borderId="0" pivotButton="0" quotePrefix="0" xfId="0"/>
    <xf numFmtId="3" fontId="4" fillId="4" borderId="0" pivotButton="0" quotePrefix="0" xfId="0"/>
    <xf numFmtId="0" fontId="0" fillId="3" borderId="0" pivotButton="0" quotePrefix="0" xfId="0"/>
    <xf numFmtId="3" fontId="0" fillId="3" borderId="0" pivotButton="0" quotePrefix="0" xfId="0"/>
    <xf numFmtId="164" fontId="0" fillId="0" borderId="0" pivotButton="0" quotePrefix="0" xfId="1"/>
    <xf numFmtId="164" fontId="4" fillId="0" borderId="0" pivotButton="0" quotePrefix="0" xfId="1"/>
    <xf numFmtId="164" fontId="0" fillId="0" borderId="0" pivotButton="0" quotePrefix="0" xfId="0"/>
  </cellXfs>
  <cellStyles count="3">
    <cellStyle name="Normal" xfId="0" builtinId="0"/>
    <cellStyle name="Comma" xfId="1" builtinId="3"/>
    <cellStyle name="Percent" xfId="2" builtinId="5"/>
  </cellStyles>
  <dxfs count="1">
    <dxf>
      <font>
        <color rgb="FFC0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tabSelected="1" topLeftCell="A21" workbookViewId="0">
      <selection activeCell="F47" sqref="F47"/>
    </sheetView>
  </sheetViews>
  <sheetFormatPr baseColWidth="8" defaultRowHeight="14.5"/>
  <cols>
    <col width="60" customWidth="1" min="1" max="1"/>
    <col width="18" customWidth="1" min="2" max="2"/>
    <col width="12.36328125" customWidth="1" min="3" max="3"/>
    <col width="13.90625" customWidth="1" min="4" max="5"/>
    <col width="32.453125" customWidth="1" min="6" max="6"/>
    <col width="17.81640625" customWidth="1" min="7" max="7"/>
    <col width="11.6328125" customWidth="1" min="8" max="8"/>
    <col width="12.7265625" customWidth="1" min="9" max="9"/>
    <col width="13.08984375" customWidth="1" min="10" max="10"/>
  </cols>
  <sheetData>
    <row r="1">
      <c r="A1" s="1" t="inlineStr">
        <is>
          <t>Utslipper</t>
        </is>
      </c>
      <c r="B1" s="1" t="inlineStr">
        <is>
          <t>Tonn CO2 (2023)</t>
        </is>
      </c>
      <c r="C1" t="inlineStr">
        <is>
          <t>Sektor</t>
        </is>
      </c>
      <c r="D1" t="inlineStr">
        <is>
          <t>Undersektor</t>
        </is>
      </c>
      <c r="F1" t="inlineStr">
        <is>
          <t>Avfall</t>
        </is>
      </c>
    </row>
    <row r="2">
      <c r="A2" t="inlineStr">
        <is>
          <t>Mongstad raffineri</t>
        </is>
      </c>
      <c r="B2" s="2" t="n">
        <v>1671300</v>
      </c>
      <c r="C2" t="inlineStr">
        <is>
          <t>Petroleum</t>
        </is>
      </c>
      <c r="D2" t="inlineStr">
        <is>
          <t>olje</t>
        </is>
      </c>
    </row>
    <row r="3">
      <c r="A3" t="inlineStr">
        <is>
          <t>Hammerfest lng</t>
        </is>
      </c>
      <c r="B3" s="2" t="n">
        <v>879330</v>
      </c>
      <c r="C3" t="inlineStr">
        <is>
          <t>Petroleum</t>
        </is>
      </c>
      <c r="D3" t="inlineStr">
        <is>
          <t>gass</t>
        </is>
      </c>
    </row>
    <row r="4">
      <c r="A4" t="inlineStr">
        <is>
          <t>Yara porsgrunn</t>
        </is>
      </c>
      <c r="B4" s="2" t="n">
        <v>755016</v>
      </c>
      <c r="C4" t="inlineStr">
        <is>
          <t>Kjemikalier</t>
        </is>
      </c>
      <c r="D4" t="inlineStr">
        <is>
          <t>Ammoniakk</t>
        </is>
      </c>
    </row>
    <row r="5">
      <c r="A5" t="inlineStr">
        <is>
          <t>Gassco as kårstø prosessanlegg</t>
        </is>
      </c>
      <c r="B5" s="2" t="n">
        <v>729167</v>
      </c>
      <c r="C5" t="inlineStr">
        <is>
          <t>Petroleum</t>
        </is>
      </c>
      <c r="D5" t="inlineStr">
        <is>
          <t>Gass</t>
        </is>
      </c>
    </row>
    <row r="6">
      <c r="A6" t="inlineStr">
        <is>
          <t>Hydro aluminium sunndal</t>
        </is>
      </c>
      <c r="B6" s="2" t="n">
        <v>646895</v>
      </c>
      <c r="C6" t="inlineStr">
        <is>
          <t>Metall</t>
        </is>
      </c>
      <c r="D6" t="inlineStr">
        <is>
          <t>Alu</t>
        </is>
      </c>
    </row>
    <row r="7">
      <c r="A7" t="inlineStr">
        <is>
          <t>Heidelberg materials brevik sementfabrikk</t>
        </is>
      </c>
      <c r="B7" s="2" t="n">
        <v>630688</v>
      </c>
      <c r="C7" t="inlineStr">
        <is>
          <t>Mineral</t>
        </is>
      </c>
      <c r="D7" t="inlineStr">
        <is>
          <t>sement</t>
        </is>
      </c>
    </row>
    <row r="8">
      <c r="A8" t="inlineStr">
        <is>
          <t>Alcoa norway as mosjøen</t>
        </is>
      </c>
      <c r="B8" s="2" t="n">
        <v>418689</v>
      </c>
      <c r="C8" t="inlineStr">
        <is>
          <t>Metall</t>
        </is>
      </c>
      <c r="D8" t="inlineStr">
        <is>
          <t>Alu</t>
        </is>
      </c>
    </row>
    <row r="9">
      <c r="A9" t="inlineStr">
        <is>
          <t>Wacker chemicals norway</t>
        </is>
      </c>
      <c r="B9" s="2" t="n">
        <v>412077</v>
      </c>
      <c r="C9" t="inlineStr">
        <is>
          <t>Metall</t>
        </is>
      </c>
      <c r="D9" t="inlineStr">
        <is>
          <t>Silisium</t>
        </is>
      </c>
    </row>
    <row r="10">
      <c r="A10" t="inlineStr">
        <is>
          <t>Ineos rafnes</t>
        </is>
      </c>
      <c r="B10" s="2" t="n">
        <v>402590</v>
      </c>
      <c r="C10" t="inlineStr">
        <is>
          <t>Kjemikalier</t>
        </is>
      </c>
      <c r="D10" t="inlineStr">
        <is>
          <t>Plast</t>
        </is>
      </c>
    </row>
    <row r="11">
      <c r="A11" t="inlineStr">
        <is>
          <t>Eramet norway sauda</t>
        </is>
      </c>
      <c r="B11" s="2" t="n">
        <v>337700</v>
      </c>
      <c r="C11" t="inlineStr">
        <is>
          <t>Metall</t>
        </is>
      </c>
      <c r="D11" t="inlineStr">
        <is>
          <t>mangan</t>
        </is>
      </c>
    </row>
    <row r="12">
      <c r="A12" t="inlineStr">
        <is>
          <t>Elkem salten</t>
        </is>
      </c>
      <c r="B12" s="2" t="n">
        <v>328321</v>
      </c>
      <c r="C12" t="inlineStr">
        <is>
          <t>Metall</t>
        </is>
      </c>
      <c r="D12" t="inlineStr">
        <is>
          <t>Silisium</t>
        </is>
      </c>
    </row>
    <row r="13">
      <c r="A13" t="inlineStr">
        <is>
          <t>Hydro aluminium årdal metallverk</t>
        </is>
      </c>
      <c r="B13" s="2" t="n">
        <v>309800</v>
      </c>
      <c r="C13" t="inlineStr">
        <is>
          <t>Metall</t>
        </is>
      </c>
      <c r="D13" t="inlineStr">
        <is>
          <t>Alu</t>
        </is>
      </c>
    </row>
    <row r="14">
      <c r="A14" t="inlineStr">
        <is>
          <t>Hydro aluminium karmøy</t>
        </is>
      </c>
      <c r="B14" s="2" t="n">
        <v>308700</v>
      </c>
      <c r="C14" t="inlineStr">
        <is>
          <t>Metall</t>
        </is>
      </c>
      <c r="D14" t="inlineStr">
        <is>
          <t>Alu</t>
        </is>
      </c>
    </row>
    <row r="15">
      <c r="A15" t="inlineStr">
        <is>
          <t>Finnfjord</t>
        </is>
      </c>
      <c r="B15" s="2" t="n">
        <v>284044</v>
      </c>
      <c r="C15" t="inlineStr">
        <is>
          <t>Metall</t>
        </is>
      </c>
      <c r="D15" t="inlineStr">
        <is>
          <t>Ferrosilisium?</t>
        </is>
      </c>
    </row>
    <row r="16">
      <c r="A16" t="inlineStr">
        <is>
          <t>Heidelberg materials kjøpsvik sementfabrikk</t>
        </is>
      </c>
      <c r="B16" s="2" t="n">
        <v>264059</v>
      </c>
      <c r="C16" t="inlineStr">
        <is>
          <t>Mineral</t>
        </is>
      </c>
      <c r="D16" t="inlineStr">
        <is>
          <t>Sement</t>
        </is>
      </c>
    </row>
    <row r="17">
      <c r="A17" t="inlineStr">
        <is>
          <t>Hydro aluminium husnes</t>
        </is>
      </c>
      <c r="B17" s="2" t="n">
        <v>232000</v>
      </c>
      <c r="C17" t="inlineStr">
        <is>
          <t>Metall</t>
        </is>
      </c>
      <c r="D17" t="inlineStr">
        <is>
          <t>Alu</t>
        </is>
      </c>
    </row>
    <row r="18">
      <c r="A18" t="inlineStr">
        <is>
          <t>Elkem rana</t>
        </is>
      </c>
      <c r="B18" s="2" t="n">
        <v>224498</v>
      </c>
      <c r="C18" t="inlineStr">
        <is>
          <t>Metall</t>
        </is>
      </c>
      <c r="D18" t="inlineStr">
        <is>
          <t>Silisium</t>
        </is>
      </c>
    </row>
    <row r="19">
      <c r="A19" t="inlineStr">
        <is>
          <t>Eramet norway kvinesdal</t>
        </is>
      </c>
      <c r="B19" s="2" t="n">
        <v>221254</v>
      </c>
      <c r="C19" t="inlineStr">
        <is>
          <t>Metall</t>
        </is>
      </c>
      <c r="D19" t="inlineStr">
        <is>
          <t>mangan</t>
        </is>
      </c>
      <c r="F19" t="inlineStr">
        <is>
          <t>Avfallsanlegg</t>
        </is>
      </c>
      <c r="I19" t="inlineStr">
        <is>
          <t>Fossil andel</t>
        </is>
      </c>
      <c r="J19" t="n">
        <v>0.45</v>
      </c>
    </row>
    <row r="20">
      <c r="A20" t="inlineStr">
        <is>
          <t>Tjeldbergodden metanolfabrikk</t>
        </is>
      </c>
      <c r="B20" s="2" t="n">
        <v>198772</v>
      </c>
      <c r="C20" t="inlineStr">
        <is>
          <t>KJemikalier</t>
        </is>
      </c>
      <c r="D20" t="inlineStr">
        <is>
          <t>metanol</t>
        </is>
      </c>
      <c r="I20" t="inlineStr">
        <is>
          <t>Fangstgrad</t>
        </is>
      </c>
      <c r="J20" s="7" t="n">
        <v>0.9</v>
      </c>
    </row>
    <row r="21">
      <c r="A21" t="inlineStr">
        <is>
          <t>Ineos tyssedal as, avdeling titanslagg</t>
        </is>
      </c>
      <c r="B21" s="2" t="n">
        <v>184978</v>
      </c>
      <c r="C21" t="inlineStr">
        <is>
          <t>Metall</t>
        </is>
      </c>
      <c r="D21" t="inlineStr">
        <is>
          <t>titan</t>
        </is>
      </c>
    </row>
    <row r="22">
      <c r="A22" t="inlineStr">
        <is>
          <t>Elkem thamshavn</t>
        </is>
      </c>
      <c r="B22" s="2" t="n">
        <v>184288</v>
      </c>
      <c r="C22" t="inlineStr">
        <is>
          <t>Metall</t>
        </is>
      </c>
      <c r="D22" t="inlineStr">
        <is>
          <t>silisium</t>
        </is>
      </c>
      <c r="F22" t="inlineStr">
        <is>
          <t>Anlegg</t>
        </is>
      </c>
      <c r="G22" s="14" t="inlineStr">
        <is>
          <t>Fossile utslipp 2023</t>
        </is>
      </c>
      <c r="H22" s="17" t="inlineStr">
        <is>
          <t>Totalt (anslag)</t>
        </is>
      </c>
      <c r="I22" s="12" t="inlineStr">
        <is>
          <t>Bio (anslag)</t>
        </is>
      </c>
      <c r="L22" t="inlineStr">
        <is>
          <t>Kilde til fordeling fossilt-bio</t>
        </is>
      </c>
    </row>
    <row r="23">
      <c r="A23" t="inlineStr">
        <is>
          <t>Elkem bremanger</t>
        </is>
      </c>
      <c r="B23" s="2" t="n">
        <v>180354</v>
      </c>
      <c r="C23" t="inlineStr">
        <is>
          <t>metall</t>
        </is>
      </c>
      <c r="D23" t="inlineStr">
        <is>
          <t>Silisium</t>
        </is>
      </c>
      <c r="G23" s="14" t="n"/>
      <c r="H23" s="17" t="n"/>
      <c r="I23" s="12" t="n"/>
      <c r="L23" t="inlineStr">
        <is>
          <t>https://www.sirknorge.no/nyheter/derfor-satser-norge-pa-karbonfangst-pa-avfallsforbrenning</t>
        </is>
      </c>
    </row>
    <row r="24">
      <c r="A24" t="inlineStr">
        <is>
          <t>Hafslund celsio as avd klemetsrudveien</t>
        </is>
      </c>
      <c r="B24" s="2" t="n">
        <v>179594</v>
      </c>
      <c r="C24" t="inlineStr">
        <is>
          <t>Avfall</t>
        </is>
      </c>
      <c r="G24" s="15" t="n"/>
      <c r="H24" s="18" t="n"/>
      <c r="I24" s="13" t="n"/>
      <c r="J24" s="19" t="n"/>
    </row>
    <row r="25">
      <c r="A25" t="inlineStr">
        <is>
          <t>Norfrakalk</t>
        </is>
      </c>
      <c r="B25" s="2" t="n">
        <v>150397</v>
      </c>
      <c r="C25" t="inlineStr">
        <is>
          <t>Mineral</t>
        </is>
      </c>
      <c r="D25" t="inlineStr">
        <is>
          <t>kalk</t>
        </is>
      </c>
      <c r="F25" t="inlineStr">
        <is>
          <t>BIR</t>
        </is>
      </c>
      <c r="G25" s="15" t="n">
        <v>117000</v>
      </c>
      <c r="H25" s="18">
        <f>G25/$J$19</f>
        <v/>
      </c>
      <c r="I25" s="13">
        <f>H25-G25</f>
        <v/>
      </c>
      <c r="J25" s="19">
        <f>H25*$J$20</f>
        <v/>
      </c>
    </row>
    <row r="26">
      <c r="A26" t="inlineStr">
        <is>
          <t>Elkem bjølvefossen</t>
        </is>
      </c>
      <c r="B26" s="2" t="n">
        <v>135460</v>
      </c>
      <c r="C26" t="inlineStr">
        <is>
          <t>Metall</t>
        </is>
      </c>
      <c r="D26" t="inlineStr">
        <is>
          <t>Silisium</t>
        </is>
      </c>
      <c r="F26" t="inlineStr">
        <is>
          <t xml:space="preserve">Lunera </t>
        </is>
      </c>
      <c r="G26" s="15" t="n">
        <v>111725</v>
      </c>
      <c r="H26" s="18">
        <f>G26/$J$19</f>
        <v/>
      </c>
      <c r="I26" s="13">
        <f>H26-G26</f>
        <v/>
      </c>
      <c r="J26" s="19">
        <f>H26*$J$20</f>
        <v/>
      </c>
    </row>
    <row r="27">
      <c r="A27" t="inlineStr">
        <is>
          <t>Eramet norway as porsgrunn</t>
        </is>
      </c>
      <c r="B27" s="2" t="n">
        <v>121860</v>
      </c>
      <c r="C27" t="inlineStr">
        <is>
          <t>Metall</t>
        </is>
      </c>
      <c r="D27" t="inlineStr">
        <is>
          <t>mangan</t>
        </is>
      </c>
      <c r="F27" t="inlineStr">
        <is>
          <t>Returkraft as</t>
        </is>
      </c>
      <c r="G27" s="15" t="n">
        <v>78230</v>
      </c>
      <c r="H27" s="18">
        <f>G27/$J$19</f>
        <v/>
      </c>
      <c r="I27" s="13">
        <f>H27-G27</f>
        <v/>
      </c>
      <c r="J27" s="19">
        <f>H27*$J$20</f>
        <v/>
      </c>
    </row>
    <row r="28">
      <c r="A28" t="inlineStr">
        <is>
          <t>Borregaard avd. spesialcellulose</t>
        </is>
      </c>
      <c r="B28" s="2" t="n">
        <v>119152</v>
      </c>
      <c r="C28" t="inlineStr">
        <is>
          <t>Skog</t>
        </is>
      </c>
      <c r="F28" t="inlineStr">
        <is>
          <t>Forus energigjenvinning - linje 1 og 2</t>
        </is>
      </c>
      <c r="G28" s="15" t="n">
        <v>61488</v>
      </c>
      <c r="H28" s="18">
        <f>G28/$J$19</f>
        <v/>
      </c>
      <c r="I28" s="13">
        <f>H28-G28</f>
        <v/>
      </c>
      <c r="J28" s="19">
        <f>H28*$J$20</f>
        <v/>
      </c>
    </row>
    <row r="29">
      <c r="A29" t="inlineStr">
        <is>
          <t>Bir ressurs as</t>
        </is>
      </c>
      <c r="B29" s="2" t="n">
        <v>117000</v>
      </c>
      <c r="C29" t="inlineStr">
        <is>
          <t>Skog</t>
        </is>
      </c>
      <c r="F29" t="inlineStr">
        <is>
          <t>Tafjord kraftvarme</t>
        </is>
      </c>
      <c r="G29" s="15" t="n">
        <v>44001</v>
      </c>
      <c r="H29" s="18">
        <f>G29/$J$19</f>
        <v/>
      </c>
      <c r="I29" s="13">
        <f>H29-G29</f>
        <v/>
      </c>
      <c r="J29" s="19">
        <f>H29*$J$20</f>
        <v/>
      </c>
    </row>
    <row r="30">
      <c r="A30" t="inlineStr">
        <is>
          <t>Alcoa lista</t>
        </is>
      </c>
      <c r="B30" s="2" t="n">
        <v>113400</v>
      </c>
      <c r="C30" t="inlineStr">
        <is>
          <t>Metall</t>
        </is>
      </c>
      <c r="D30" t="inlineStr">
        <is>
          <t>Alu</t>
        </is>
      </c>
      <c r="F30" t="inlineStr">
        <is>
          <t>Frevar - forbrenningsanlegget</t>
        </is>
      </c>
      <c r="G30" s="15" t="n">
        <v>39300</v>
      </c>
      <c r="H30" s="18">
        <f>G30/$J$19</f>
        <v/>
      </c>
      <c r="I30" s="13">
        <f>H30-G30</f>
        <v/>
      </c>
      <c r="J30" s="19">
        <f>H30*$J$20</f>
        <v/>
      </c>
    </row>
    <row r="31">
      <c r="A31" t="inlineStr">
        <is>
          <t>Lunera energi - avfallsforbrenningsanlegg heimdal</t>
        </is>
      </c>
      <c r="B31" s="2" t="n">
        <v>111725</v>
      </c>
      <c r="C31" t="inlineStr">
        <is>
          <t>Avfall</t>
        </is>
      </c>
      <c r="F31" t="inlineStr">
        <is>
          <t>Kvitebjørn varme avfallsforbrenningsanlegg skattøra</t>
        </is>
      </c>
      <c r="G31" s="15" t="n">
        <v>28650</v>
      </c>
      <c r="H31" s="18">
        <f>G31/$J$19</f>
        <v/>
      </c>
      <c r="I31" s="13">
        <f>H31-G31</f>
        <v/>
      </c>
      <c r="J31" s="19">
        <f>H31*$J$20</f>
        <v/>
      </c>
    </row>
    <row r="32">
      <c r="A32" t="inlineStr">
        <is>
          <t>Ferroglobe mangan norge</t>
        </is>
      </c>
      <c r="B32" s="2" t="n">
        <v>109869</v>
      </c>
      <c r="C32" t="inlineStr">
        <is>
          <t>Metall</t>
        </is>
      </c>
      <c r="D32" t="inlineStr">
        <is>
          <t>mangan</t>
        </is>
      </c>
      <c r="F32" s="4" t="inlineStr">
        <is>
          <t>Totalt</t>
        </is>
      </c>
      <c r="G32" s="16">
        <f>SUM(G23:G31)</f>
        <v/>
      </c>
      <c r="H32" s="9">
        <f>SUM(H24:H31)</f>
        <v/>
      </c>
      <c r="I32" s="8">
        <f>SUM(I24:I31)</f>
        <v/>
      </c>
      <c r="J32" s="5">
        <f>SUM(J23:J31)</f>
        <v/>
      </c>
      <c r="K32" s="4" t="n"/>
      <c r="L32" s="4" t="n"/>
    </row>
    <row r="33">
      <c r="A33" t="inlineStr">
        <is>
          <t>Hydro aluminium høyanger</t>
        </is>
      </c>
      <c r="B33" s="2" t="n">
        <v>105280</v>
      </c>
      <c r="C33" t="inlineStr">
        <is>
          <t>Metall</t>
        </is>
      </c>
      <c r="D33" t="inlineStr">
        <is>
          <t>alu</t>
        </is>
      </c>
    </row>
    <row r="34">
      <c r="A34" t="inlineStr">
        <is>
          <t>Hydro aluminium årdal karbon</t>
        </is>
      </c>
      <c r="B34" s="2" t="n">
        <v>97600</v>
      </c>
    </row>
    <row r="35">
      <c r="A35" t="inlineStr">
        <is>
          <t>7 steel nordic (tidl. celsa armeringsstål)</t>
        </is>
      </c>
      <c r="B35" s="2" t="n">
        <v>88994</v>
      </c>
      <c r="C35" t="inlineStr">
        <is>
          <t>metall</t>
        </is>
      </c>
      <c r="D35" t="inlineStr">
        <is>
          <t>stål</t>
        </is>
      </c>
      <c r="F35" s="10" t="inlineStr">
        <is>
          <t>(Klemetsrudsanlegget er allerede finansiert, og er ikke med i beregningen)</t>
        </is>
      </c>
    </row>
    <row r="36">
      <c r="A36" t="inlineStr">
        <is>
          <t>Inovyn norge avd. rafnes</t>
        </is>
      </c>
      <c r="B36" s="2" t="n">
        <v>87272</v>
      </c>
      <c r="C36" t="inlineStr">
        <is>
          <t>Kjemikalier</t>
        </is>
      </c>
      <c r="D36" t="inlineStr">
        <is>
          <t>plast</t>
        </is>
      </c>
      <c r="F36" t="inlineStr">
        <is>
          <t>Kilde: norskeutslipp.no (Miljødirektoratet)</t>
        </is>
      </c>
    </row>
    <row r="37">
      <c r="A37" t="inlineStr">
        <is>
          <t>Sma mineral</t>
        </is>
      </c>
      <c r="B37" s="2" t="n">
        <v>80902</v>
      </c>
      <c r="C37" t="inlineStr">
        <is>
          <t>Mineraler</t>
        </is>
      </c>
      <c r="D37" t="inlineStr">
        <is>
          <t>Kalk?</t>
        </is>
      </c>
    </row>
    <row r="38">
      <c r="A38" t="inlineStr">
        <is>
          <t>Returkraft as</t>
        </is>
      </c>
      <c r="B38" s="2" t="n">
        <v>78230</v>
      </c>
      <c r="C38" t="inlineStr">
        <is>
          <t>Avfall</t>
        </is>
      </c>
      <c r="F38" s="4" t="inlineStr">
        <is>
          <t>Mulig Enova-finansiering for avfall CCS</t>
        </is>
      </c>
      <c r="K38" t="inlineStr">
        <is>
          <t>Kilde</t>
        </is>
      </c>
    </row>
    <row r="39">
      <c r="A39" t="inlineStr">
        <is>
          <t>Svalbard energi longyearbyen energiverk</t>
        </is>
      </c>
      <c r="B39" s="2" t="n">
        <v>67148</v>
      </c>
      <c r="F39" t="inlineStr">
        <is>
          <t>Budpris middels</t>
        </is>
      </c>
      <c r="G39" t="n">
        <v>1700</v>
      </c>
      <c r="H39" t="inlineStr">
        <is>
          <t>NOK/tonn CO2</t>
        </is>
      </c>
      <c r="K39" t="inlineStr">
        <is>
          <t>https://info.enova.no/hubfs/Karbonfangst/H%C3%B8ringsnotat.pdf?hsLang=no</t>
        </is>
      </c>
    </row>
    <row r="40">
      <c r="A40" t="inlineStr">
        <is>
          <t>Forus energigjenvinning - linje 1 og 2</t>
        </is>
      </c>
      <c r="B40" s="2" t="n">
        <v>61488</v>
      </c>
      <c r="C40" t="inlineStr">
        <is>
          <t>Avfall</t>
        </is>
      </c>
      <c r="F40" t="inlineStr">
        <is>
          <t>Antall tonn (90 % fangst)</t>
        </is>
      </c>
      <c r="G40" s="2">
        <f>J32</f>
        <v/>
      </c>
      <c r="H40" s="2" t="n"/>
      <c r="I40" s="2" t="n"/>
    </row>
    <row r="41">
      <c r="A41" t="inlineStr">
        <is>
          <t>Verdalskalk</t>
        </is>
      </c>
      <c r="B41" s="2" t="n">
        <v>61030</v>
      </c>
      <c r="C41" t="inlineStr">
        <is>
          <t>Mineral</t>
        </is>
      </c>
      <c r="D41" t="inlineStr">
        <is>
          <t>Kalk</t>
        </is>
      </c>
      <c r="F41" t="inlineStr">
        <is>
          <t>Antall år driftsstøtte</t>
        </is>
      </c>
      <c r="G41" t="n">
        <v>10</v>
      </c>
    </row>
    <row r="42">
      <c r="A42" t="inlineStr">
        <is>
          <t>Gassco as kollsnes prosessanlegg</t>
        </is>
      </c>
      <c r="B42" s="2" t="n">
        <v>59198</v>
      </c>
      <c r="C42" t="inlineStr">
        <is>
          <t>Petroleum</t>
        </is>
      </c>
      <c r="F42" s="4" t="inlineStr">
        <is>
          <t>Total støttebehov fra Enova</t>
        </is>
      </c>
      <c r="G42" s="20">
        <f>G39*G40*G41</f>
        <v/>
      </c>
      <c r="H42" s="20" t="n"/>
      <c r="I42" s="20" t="n"/>
    </row>
    <row r="43">
      <c r="A43" t="inlineStr">
        <is>
          <t>Haraldrud energigjenvinningsanlegg</t>
        </is>
      </c>
      <c r="B43" s="2" t="n">
        <v>46000</v>
      </c>
      <c r="C43" t="inlineStr">
        <is>
          <t>Avfall</t>
        </is>
      </c>
    </row>
    <row r="44">
      <c r="A44" t="inlineStr">
        <is>
          <t>Stureterminalen</t>
        </is>
      </c>
      <c r="B44" s="2" t="n">
        <v>44420</v>
      </c>
      <c r="C44" t="inlineStr">
        <is>
          <t>Petroleum</t>
        </is>
      </c>
      <c r="F44" t="inlineStr">
        <is>
          <t>Total ramme for Enova 2027-2032</t>
        </is>
      </c>
      <c r="G44" s="19" t="n">
        <v>20000000000</v>
      </c>
      <c r="H44" s="10" t="inlineStr">
        <is>
          <t>Forslag fra Enova</t>
        </is>
      </c>
    </row>
    <row r="45">
      <c r="A45" t="inlineStr">
        <is>
          <t>Tafjord kraftvarme avd produksjon</t>
        </is>
      </c>
      <c r="B45" s="2" t="n">
        <v>44001</v>
      </c>
      <c r="C45" t="inlineStr">
        <is>
          <t>Avfall</t>
        </is>
      </c>
      <c r="F45" t="inlineStr">
        <is>
          <t>Til overs/mangler?</t>
        </is>
      </c>
      <c r="G45" s="21">
        <f>G44-G42</f>
        <v/>
      </c>
    </row>
    <row r="46">
      <c r="A46" t="inlineStr">
        <is>
          <t>Frevar - forbrenningsanlegget</t>
        </is>
      </c>
      <c r="B46" s="2" t="n">
        <v>39300</v>
      </c>
      <c r="C46" t="inlineStr">
        <is>
          <t>Avfall</t>
        </is>
      </c>
    </row>
    <row r="47">
      <c r="A47" t="inlineStr">
        <is>
          <t>Ge healthcare lindesnes</t>
        </is>
      </c>
      <c r="B47" s="2" t="n">
        <v>30193</v>
      </c>
    </row>
    <row r="48">
      <c r="A48" t="inlineStr">
        <is>
          <t>3b-fibreglass norway</t>
        </is>
      </c>
      <c r="B48" s="2" t="n">
        <v>29909</v>
      </c>
    </row>
    <row r="49">
      <c r="A49" t="inlineStr">
        <is>
          <t>Kvitebjørn varme avfallsforbrenningsanlegg skattøra</t>
        </is>
      </c>
      <c r="B49" s="2" t="n">
        <v>28650</v>
      </c>
      <c r="C49" t="inlineStr">
        <is>
          <t>Avfall</t>
        </is>
      </c>
    </row>
    <row r="50">
      <c r="A50" t="inlineStr">
        <is>
          <t>Norgips norge</t>
        </is>
      </c>
      <c r="B50" s="2" t="n">
        <v>26730</v>
      </c>
    </row>
    <row r="51">
      <c r="A51" t="inlineStr">
        <is>
          <t>Leca rælingen</t>
        </is>
      </c>
      <c r="B51" s="2" t="n">
        <v>24217</v>
      </c>
    </row>
    <row r="52">
      <c r="A52" t="inlineStr">
        <is>
          <t>Nyhamna prosessanlegg</t>
        </is>
      </c>
      <c r="B52" s="2" t="n">
        <v>21982</v>
      </c>
    </row>
    <row r="53">
      <c r="A53" t="inlineStr">
        <is>
          <t>Kronos titan</t>
        </is>
      </c>
      <c r="B53" s="2" t="n">
        <v>21169</v>
      </c>
    </row>
    <row r="54">
      <c r="A54" t="inlineStr">
        <is>
          <t>Risavika production as</t>
        </is>
      </c>
      <c r="B54" s="2" t="n">
        <v>19850</v>
      </c>
    </row>
    <row r="55">
      <c r="A55" t="inlineStr">
        <is>
          <t>Speira holmestrand</t>
        </is>
      </c>
      <c r="B55" s="2" t="n">
        <v>19100</v>
      </c>
    </row>
    <row r="56">
      <c r="A56" t="inlineStr">
        <is>
          <t>Pcs pulverlakk as</t>
        </is>
      </c>
      <c r="B56" s="2" t="n">
        <v>18963</v>
      </c>
    </row>
    <row r="57">
      <c r="A57" t="inlineStr">
        <is>
          <t>Dynea lillestrøm</t>
        </is>
      </c>
      <c r="B57" s="2" t="n">
        <v>18700</v>
      </c>
    </row>
    <row r="58">
      <c r="A58" t="inlineStr">
        <is>
          <t>Kogen as</t>
        </is>
      </c>
      <c r="B58" s="2" t="n">
        <v>17970</v>
      </c>
    </row>
    <row r="59">
      <c r="A59" t="inlineStr">
        <is>
          <t>Rockwool trondheim</t>
        </is>
      </c>
      <c r="B59" s="2" t="n">
        <v>17928</v>
      </c>
    </row>
    <row r="60">
      <c r="A60" t="inlineStr">
        <is>
          <t>Glencore nikkelverk</t>
        </is>
      </c>
      <c r="B60" s="2" t="n">
        <v>15440</v>
      </c>
    </row>
    <row r="61">
      <c r="A61" t="inlineStr">
        <is>
          <t>Dupont nutrition norge as (tidligere fmc)</t>
        </is>
      </c>
      <c r="B61" s="2" t="n">
        <v>15039</v>
      </c>
    </row>
    <row r="62">
      <c r="A62" t="inlineStr">
        <is>
          <t>Mowi feed- forfabrikk</t>
        </is>
      </c>
      <c r="B62" s="2" t="n">
        <v>13100</v>
      </c>
    </row>
    <row r="63">
      <c r="A63" t="inlineStr">
        <is>
          <t>Speira karmøy rolling mill</t>
        </is>
      </c>
      <c r="B63" s="2" t="n">
        <v>13056</v>
      </c>
    </row>
    <row r="64">
      <c r="A64" t="inlineStr">
        <is>
          <t>Esso norge slagentangen</t>
        </is>
      </c>
      <c r="B64" s="2" t="n">
        <v>12850</v>
      </c>
    </row>
    <row r="65">
      <c r="A65" t="inlineStr">
        <is>
          <t>Triplenine vedde as</t>
        </is>
      </c>
      <c r="B65" s="2" t="n">
        <v>12694</v>
      </c>
    </row>
    <row r="66">
      <c r="A66" t="inlineStr">
        <is>
          <t>Ineos bamble</t>
        </is>
      </c>
      <c r="B66" s="2" t="n">
        <v>12678</v>
      </c>
    </row>
    <row r="67">
      <c r="A67" t="inlineStr">
        <is>
          <t>Pelagia karmsund fiskemel</t>
        </is>
      </c>
      <c r="B67" s="2" t="n">
        <v>12334</v>
      </c>
    </row>
    <row r="68">
      <c r="A68" t="inlineStr">
        <is>
          <t>Prima protein</t>
        </is>
      </c>
      <c r="B68" s="2" t="n">
        <v>11714</v>
      </c>
    </row>
    <row r="69">
      <c r="A69" t="inlineStr">
        <is>
          <t>Fluorsid noralf as</t>
        </is>
      </c>
      <c r="B69" s="2" t="n">
        <v>10933</v>
      </c>
    </row>
    <row r="70">
      <c r="A70" t="inlineStr">
        <is>
          <t>Huntonit</t>
        </is>
      </c>
      <c r="B70" s="2" t="n">
        <v>10446</v>
      </c>
    </row>
    <row r="71">
      <c r="A71" t="inlineStr">
        <is>
          <t>Glava askim</t>
        </is>
      </c>
      <c r="B71" s="2" t="n">
        <v>10342</v>
      </c>
    </row>
    <row r="72">
      <c r="A72" t="inlineStr">
        <is>
          <t>Rockwool moss</t>
        </is>
      </c>
      <c r="B72" s="2" t="n">
        <v>10255</v>
      </c>
    </row>
    <row r="73">
      <c r="A73" t="inlineStr">
        <is>
          <t>Nordic paper</t>
        </is>
      </c>
      <c r="B73" s="2" t="n">
        <v>9916</v>
      </c>
    </row>
    <row r="74">
      <c r="A74" t="inlineStr">
        <is>
          <t>O. kavli as</t>
        </is>
      </c>
      <c r="B74" s="2" t="n">
        <v>9500</v>
      </c>
    </row>
    <row r="75">
      <c r="A75" t="inlineStr">
        <is>
          <t>Tine avd. jæren</t>
        </is>
      </c>
      <c r="B75" s="2" t="n">
        <v>9058</v>
      </c>
    </row>
    <row r="76">
      <c r="A76" t="inlineStr">
        <is>
          <t>Pelagia egersund sildoljefabrikk</t>
        </is>
      </c>
      <c r="B76" s="2" t="n">
        <v>8991</v>
      </c>
    </row>
    <row r="77">
      <c r="A77" t="inlineStr">
        <is>
          <t>Elkem carbon</t>
        </is>
      </c>
      <c r="B77" s="2" t="n">
        <v>8960</v>
      </c>
    </row>
    <row r="78">
      <c r="A78" t="inlineStr">
        <is>
          <t>Vajda-papir scandinavia</t>
        </is>
      </c>
      <c r="B78" s="2" t="n">
        <v>7605</v>
      </c>
    </row>
    <row r="79">
      <c r="A79" t="inlineStr">
        <is>
          <t>Karmsund protein</t>
        </is>
      </c>
      <c r="B79" s="2" t="n">
        <v>7601</v>
      </c>
    </row>
    <row r="80">
      <c r="A80" t="inlineStr">
        <is>
          <t>Ewos as avd. florø</t>
        </is>
      </c>
      <c r="B80" s="2" t="n">
        <v>7560</v>
      </c>
    </row>
    <row r="81">
      <c r="A81" t="inlineStr">
        <is>
          <t>Titania as</t>
        </is>
      </c>
      <c r="B81" s="2" t="n">
        <v>7490</v>
      </c>
    </row>
    <row r="82">
      <c r="A82" t="inlineStr">
        <is>
          <t>Skretting fôrfabrikk, averøy</t>
        </is>
      </c>
      <c r="B82" s="2" t="n">
        <v>5869</v>
      </c>
    </row>
    <row r="83">
      <c r="A83" t="inlineStr">
        <is>
          <t>Botnhågen avfallsforbrenningsanlegg</t>
        </is>
      </c>
      <c r="B83" s="2" t="n">
        <v>5815</v>
      </c>
    </row>
    <row r="84">
      <c r="A84" t="inlineStr">
        <is>
          <t>Maarud as</t>
        </is>
      </c>
      <c r="B84" s="2" t="n">
        <v>5271</v>
      </c>
    </row>
    <row r="85">
      <c r="A85" t="inlineStr">
        <is>
          <t>Biomega norway  as</t>
        </is>
      </c>
      <c r="B85" s="2" t="n">
        <v>5220</v>
      </c>
    </row>
    <row r="86">
      <c r="A86" t="inlineStr">
        <is>
          <t>Norske skog skogn</t>
        </is>
      </c>
      <c r="B86" s="2" t="n">
        <v>5200</v>
      </c>
    </row>
    <row r="87">
      <c r="A87" t="inlineStr">
        <is>
          <t>Hellefoss paper</t>
        </is>
      </c>
      <c r="B87" s="2" t="n">
        <v>5070</v>
      </c>
    </row>
    <row r="88">
      <c r="A88" t="inlineStr">
        <is>
          <t>Boliden odda - produksjon av sink</t>
        </is>
      </c>
      <c r="B88" s="2" t="n">
        <v>4881</v>
      </c>
    </row>
    <row r="89">
      <c r="A89" t="inlineStr">
        <is>
          <t>Molgas norway as avds kollsnes</t>
        </is>
      </c>
      <c r="B89" s="2" t="n">
        <v>4826</v>
      </c>
    </row>
    <row r="90">
      <c r="A90" t="inlineStr">
        <is>
          <t>Basf as sandefjord</t>
        </is>
      </c>
      <c r="B90" s="2" t="n">
        <v>4430</v>
      </c>
    </row>
    <row r="91">
      <c r="A91" t="inlineStr">
        <is>
          <t>Biosirk norge as avd grødaland</t>
        </is>
      </c>
      <c r="B91" s="2" t="n">
        <v>4400</v>
      </c>
    </row>
    <row r="92">
      <c r="A92" t="inlineStr">
        <is>
          <t>Hp halden pharma (tidl fresenius kabi norge)</t>
        </is>
      </c>
      <c r="B92" s="2" t="n">
        <v>4151</v>
      </c>
    </row>
    <row r="93">
      <c r="A93" t="inlineStr">
        <is>
          <t>Mm follacell</t>
        </is>
      </c>
      <c r="B93" s="2" t="n">
        <v>4099</v>
      </c>
    </row>
    <row r="94">
      <c r="A94" t="inlineStr">
        <is>
          <t>Speira recycling services rød</t>
        </is>
      </c>
      <c r="B94" s="2" t="n">
        <v>3220</v>
      </c>
    </row>
    <row r="95">
      <c r="A95" t="inlineStr">
        <is>
          <t>Skretting fôrfabrikk, stavanger</t>
        </is>
      </c>
      <c r="B95" s="2" t="n">
        <v>3218</v>
      </c>
    </row>
    <row r="96">
      <c r="A96" t="inlineStr">
        <is>
          <t>Glava stjørdal</t>
        </is>
      </c>
      <c r="B96" s="2" t="n">
        <v>3204</v>
      </c>
    </row>
    <row r="97">
      <c r="A97" t="inlineStr">
        <is>
          <t>Ewos fôrfabrikk, meløy</t>
        </is>
      </c>
      <c r="B97" s="2" t="n">
        <v>3160</v>
      </c>
    </row>
    <row r="98">
      <c r="A98" t="inlineStr">
        <is>
          <t>Pelagia bodø sildoljefabrikk</t>
        </is>
      </c>
      <c r="B98" s="2" t="n">
        <v>2716</v>
      </c>
    </row>
    <row r="99">
      <c r="A99" t="inlineStr">
        <is>
          <t>Orkla confectionery &amp; snacks norge as avd. skreia</t>
        </is>
      </c>
      <c r="B99" s="2" t="n">
        <v>2670</v>
      </c>
    </row>
    <row r="100">
      <c r="A100" t="inlineStr">
        <is>
          <t>Orkla foods norge as avd toro arna</t>
        </is>
      </c>
      <c r="B100" s="2" t="n">
        <v>2579</v>
      </c>
    </row>
    <row r="101">
      <c r="A101" t="inlineStr">
        <is>
          <t>Algea as</t>
        </is>
      </c>
      <c r="B101" s="2" t="n">
        <v>2510</v>
      </c>
    </row>
  </sheetData>
  <conditionalFormatting sqref="G45">
    <cfRule type="expression" priority="1" dxfId="0">
      <formula>G45&lt;0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2026-10-01T11:53:40Z</dcterms:created>
  <dcterms:modified xsi:type="dcterms:W3CDTF">2026-10-06T08:51:38Z</dcterms:modified>
  <cp:lastModifiedBy>Olav Øye</cp:lastModifiedBy>
</cp:coreProperties>
</file>